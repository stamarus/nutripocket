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Auditoria" sheetId="1" state="visible" r:id="rId1"/>
    <sheet xmlns:r="http://schemas.openxmlformats.org/officeDocument/2006/relationships" name="Legislações &amp; Critério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Calibri"/>
      <b val="1"/>
      <color rgb="00FFFFFF"/>
      <sz val="16"/>
    </font>
    <font>
      <name val="Calibri"/>
      <i val="1"/>
      <color rgb="00FDE68A"/>
      <sz val="10"/>
    </font>
    <font>
      <name val="Calibri"/>
      <b val="1"/>
      <color rgb="001E293B"/>
      <sz val="10"/>
    </font>
    <font>
      <name val="Calibri"/>
      <color rgb="001E293B"/>
      <sz val="10"/>
    </font>
    <font>
      <name val="Calibri"/>
      <b val="1"/>
      <color rgb="00FFFFFF"/>
      <sz val="10"/>
    </font>
    <font>
      <name val="Calibri"/>
      <b val="1"/>
      <color rgb="00059669"/>
      <sz val="18"/>
    </font>
    <font>
      <name val="Calibri"/>
      <b val="1"/>
      <color rgb="00047857"/>
      <sz val="16"/>
    </font>
    <font>
      <name val="Calibri"/>
      <b val="1"/>
      <color rgb="00DC2626"/>
      <sz val="16"/>
    </font>
    <font>
      <name val="Calibri"/>
      <b val="1"/>
      <color rgb="000F172A"/>
      <sz val="12"/>
    </font>
    <font>
      <name val="Calibri"/>
      <b val="1"/>
      <color rgb="00FFFFFF"/>
      <sz val="11"/>
    </font>
    <font>
      <name val="Calibri"/>
      <color rgb="00475569"/>
      <sz val="9"/>
    </font>
  </fonts>
  <fills count="11">
    <fill>
      <patternFill/>
    </fill>
    <fill>
      <patternFill patternType="gray125"/>
    </fill>
    <fill>
      <patternFill patternType="solid">
        <fgColor rgb="000F172A"/>
        <bgColor rgb="000F172A"/>
      </patternFill>
    </fill>
    <fill>
      <patternFill patternType="solid">
        <fgColor rgb="00065F46"/>
        <bgColor rgb="00065F46"/>
      </patternFill>
    </fill>
    <fill>
      <patternFill patternType="solid">
        <fgColor rgb="00ECFDF5"/>
        <bgColor rgb="00ECFDF5"/>
      </patternFill>
    </fill>
    <fill>
      <patternFill patternType="solid">
        <fgColor rgb="00334155"/>
        <bgColor rgb="00334155"/>
      </patternFill>
    </fill>
    <fill>
      <patternFill patternType="solid">
        <fgColor rgb="00F1F5F9"/>
        <bgColor rgb="00F1F5F9"/>
      </patternFill>
    </fill>
    <fill>
      <patternFill patternType="solid">
        <fgColor rgb="00991B1B"/>
        <bgColor rgb="00991B1B"/>
      </patternFill>
    </fill>
    <fill>
      <patternFill patternType="solid">
        <fgColor rgb="00FEF2F2"/>
        <bgColor rgb="00FEF2F2"/>
      </patternFill>
    </fill>
    <fill>
      <patternFill patternType="solid">
        <fgColor rgb="001E293B"/>
        <bgColor rgb="001E293B"/>
      </patternFill>
    </fill>
    <fill>
      <patternFill patternType="solid">
        <fgColor rgb="00B45309"/>
        <bgColor rgb="00B4530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0" borderId="0" pivotButton="0" quotePrefix="0" xfId="0"/>
    <xf numFmtId="0" fontId="4" fillId="0" borderId="0" pivotButton="0" quotePrefix="0" xfId="0"/>
    <xf numFmtId="0" fontId="5" fillId="3" borderId="0" applyAlignment="1" pivotButton="0" quotePrefix="0" xfId="0">
      <alignment horizontal="center" vertical="center"/>
    </xf>
    <xf numFmtId="0" fontId="5" fillId="5" borderId="0" applyAlignment="1" pivotButton="0" quotePrefix="0" xfId="0">
      <alignment horizontal="center" vertical="center"/>
    </xf>
    <xf numFmtId="0" fontId="5" fillId="7" borderId="0" applyAlignment="1" pivotButton="0" quotePrefix="0" xfId="0">
      <alignment horizontal="center" vertical="center"/>
    </xf>
    <xf numFmtId="164" fontId="6" fillId="4" borderId="0" applyAlignment="1" pivotButton="0" quotePrefix="0" xfId="0">
      <alignment horizontal="center" vertical="center"/>
    </xf>
    <xf numFmtId="0" fontId="7" fillId="6" borderId="0" applyAlignment="1" pivotButton="0" quotePrefix="0" xfId="0">
      <alignment horizontal="center" vertical="center"/>
    </xf>
    <xf numFmtId="0" fontId="8" fillId="8" borderId="0" applyAlignment="1" pivotButton="0" quotePrefix="0" xfId="0">
      <alignment horizontal="center" vertical="center"/>
    </xf>
    <xf numFmtId="0" fontId="9" fillId="6" borderId="0" applyAlignment="1" pivotButton="0" quotePrefix="0" xfId="0">
      <alignment horizontal="center" vertical="center"/>
    </xf>
    <xf numFmtId="0" fontId="5" fillId="5" borderId="1" applyAlignment="1" pivotButton="0" quotePrefix="0" xfId="0">
      <alignment horizontal="center" vertical="center" wrapText="1"/>
    </xf>
    <xf numFmtId="0" fontId="10" fillId="9" borderId="0" applyAlignment="1" pivotButton="0" quotePrefix="0" xfId="0">
      <alignment horizontal="left" vertical="center" indent="1"/>
    </xf>
    <xf numFmtId="0" fontId="3" fillId="0" borderId="1" applyAlignment="1" pivotButton="0" quotePrefix="0" xfId="0">
      <alignment horizontal="center" vertical="center"/>
    </xf>
    <xf numFmtId="0" fontId="4" fillId="0" borderId="1" applyAlignment="1" pivotButton="0" quotePrefix="0" xfId="0">
      <alignment horizontal="left" vertical="center"/>
    </xf>
    <xf numFmtId="0" fontId="11" fillId="0" borderId="1" applyAlignment="1" pivotButton="0" quotePrefix="0" xfId="0">
      <alignment horizontal="center" vertical="center"/>
    </xf>
    <xf numFmtId="0" fontId="4" fillId="0" borderId="1" applyAlignment="1" pivotButton="0" quotePrefix="0" xfId="0">
      <alignment horizontal="center" vertical="center"/>
    </xf>
    <xf numFmtId="0" fontId="0" fillId="0" borderId="1" applyAlignment="1" pivotButton="0" quotePrefix="0" xfId="0">
      <alignment horizontal="center" vertical="center"/>
    </xf>
    <xf numFmtId="0" fontId="10" fillId="10" borderId="0" applyAlignment="1" pivotButton="0" quotePrefix="0" xfId="0">
      <alignment horizontal="left" vertical="center" indent="1"/>
    </xf>
    <xf numFmtId="0" fontId="5" fillId="5" borderId="1"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showGridLines="1" workbookViewId="0">
      <selection activeCell="A1" sqref="A1"/>
    </sheetView>
  </sheetViews>
  <sheetFormatPr baseColWidth="8" defaultRowHeight="15"/>
  <cols>
    <col width="8" customWidth="1" min="1" max="1"/>
    <col width="58" customWidth="1" min="2" max="2"/>
    <col width="24" customWidth="1" min="3" max="3"/>
    <col width="12" customWidth="1" min="4" max="4"/>
    <col width="14" customWidth="1" min="5" max="5"/>
    <col width="22" customWidth="1" min="6" max="6"/>
    <col width="45" customWidth="1" min="7" max="7"/>
  </cols>
  <sheetData>
    <row r="1" ht="36" customHeight="1">
      <c r="A1" s="1" t="inlineStr">
        <is>
          <t>AUDITORIA SANITÁRIA &amp; EXCELÊNCIA OPERACIONAL GASTRONÔMICA</t>
        </is>
      </c>
    </row>
    <row r="2" ht="20" customHeight="1">
      <c r="A2" s="2" t="inlineStr">
        <is>
          <t>Embasamento: RDC 216/04 ANVISA • Portaria CVS 5/13 SP • Portaria SMS 2619/11 SP • Padrão 3 Estrelas Michelin</t>
        </is>
      </c>
    </row>
    <row r="4" ht="20" customHeight="1">
      <c r="A4" s="3" t="inlineStr">
        <is>
          <t>Estabelecimento Auditado:</t>
        </is>
      </c>
      <c r="B4" s="4" t="inlineStr">
        <is>
          <t>Restaurante &amp; Cozinha Modelo</t>
        </is>
      </c>
      <c r="E4" s="3" t="inlineStr">
        <is>
          <t>Data da Vistoria:</t>
        </is>
      </c>
      <c r="F4" s="4">
        <f>TODAY()</f>
        <v/>
      </c>
    </row>
    <row r="5" ht="20" customHeight="1">
      <c r="A5" s="3" t="inlineStr">
        <is>
          <t>Responsável Técnico (RT):</t>
        </is>
      </c>
      <c r="B5" s="4" t="inlineStr">
        <is>
          <t>Dra. Gabriela Stamarus (CRN-3)</t>
        </is>
      </c>
      <c r="E5" s="3" t="inlineStr">
        <is>
          <t>Tipo de Serviço:</t>
        </is>
      </c>
      <c r="F5" s="4" t="inlineStr">
        <is>
          <t>Buffet / A la Carte / Alta Gastronomia</t>
        </is>
      </c>
    </row>
    <row r="6" ht="20" customHeight="1">
      <c r="A6" s="3" t="inlineStr">
        <is>
          <t>Município / UF:</t>
        </is>
      </c>
      <c r="B6" s="4" t="inlineStr">
        <is>
          <t>São Paulo / SP</t>
        </is>
      </c>
      <c r="E6" s="3" t="inlineStr">
        <is>
          <t>Classificação Preliminar:</t>
        </is>
      </c>
      <c r="F6" s="4" t="inlineStr">
        <is>
          <t>CVS 5 (Grupo 1)</t>
        </is>
      </c>
    </row>
    <row r="8">
      <c r="A8" s="5" t="inlineStr">
        <is>
          <t>ÍNDICE CONFORMIDADE (%)</t>
        </is>
      </c>
      <c r="C8" s="6" t="inlineStr">
        <is>
          <t>TOTAL CONFORME (C)</t>
        </is>
      </c>
      <c r="E8" s="7" t="inlineStr">
        <is>
          <t>NÃO CONFORME</t>
        </is>
      </c>
      <c r="F8" s="6" t="inlineStr">
        <is>
          <t>STATUS CVS 5 / VIGILÂNCIA</t>
        </is>
      </c>
    </row>
    <row r="9">
      <c r="A9" s="8">
        <f>IFERROR(COUNTIF(E13:E55,"C")/(COUNTIF(E13:E55,"C")+COUNTIF(E13:E55,"NC")), 1)</f>
        <v/>
      </c>
      <c r="C9" s="9">
        <f>COUNTIF(E13:E55, "C")</f>
        <v/>
      </c>
      <c r="E9" s="10">
        <f>COUNTIF(E13:E55, "NC")</f>
        <v/>
      </c>
      <c r="F9" s="11">
        <f>IF(A9&gt;=0.9, "GRUPO 1 - EXCELENTE", IF(A9&gt;=0.7, "GRUPO 2 - REGULAR", "GRUPO 3 - CRITICO"))</f>
        <v/>
      </c>
    </row>
    <row r="10"/>
    <row r="12" ht="24" customHeight="1">
      <c r="A12" s="12" t="inlineStr">
        <is>
          <t>ID</t>
        </is>
      </c>
      <c r="B12" s="12" t="inlineStr">
        <is>
          <t>ITEM / REQUISITO DE AUDITORIA</t>
        </is>
      </c>
      <c r="C12" s="12" t="inlineStr">
        <is>
          <t>BASE LEGAL / NORMA</t>
        </is>
      </c>
      <c r="D12" s="12" t="inlineStr">
        <is>
          <t>PESO</t>
        </is>
      </c>
      <c r="E12" s="12" t="inlineStr">
        <is>
          <t>AVALIAÇÃO</t>
        </is>
      </c>
      <c r="F12" s="12" t="inlineStr">
        <is>
          <t>EVIDÊNCIA / FOTO</t>
        </is>
      </c>
      <c r="G12" s="12" t="inlineStr">
        <is>
          <t>AÇÃO CORRETIVA / OBSERVAÇÕES</t>
        </is>
      </c>
    </row>
    <row r="13" ht="22" customHeight="1">
      <c r="A13" s="13" t="inlineStr">
        <is>
          <t>1. EDIFICAÇÃO, INSTALAÇÕES E FLUXO OPERACIONAL — (RDC 216 Item 4.1 | CVS 5 Art. 6 a 12 | SMS 2619 Cap. II)</t>
        </is>
      </c>
    </row>
    <row r="14" ht="24" customHeight="1">
      <c r="A14" s="14" t="inlineStr">
        <is>
          <t>1.1</t>
        </is>
      </c>
      <c r="B14" s="15" t="inlineStr">
        <is>
          <t>Fluxo linear contínuo, sem cruzamento de linhas entre alimentos crus, cozidos e detritos.</t>
        </is>
      </c>
      <c r="C14" s="16" t="inlineStr">
        <is>
          <t>RDC 216 4.1.2</t>
        </is>
      </c>
      <c r="D14" s="17" t="inlineStr">
        <is>
          <t>Crítico</t>
        </is>
      </c>
      <c r="E14" s="14" t="inlineStr">
        <is>
          <t>C</t>
        </is>
      </c>
      <c r="F14" s="18" t="inlineStr"/>
      <c r="G14" s="15" t="inlineStr">
        <is>
          <t>Em conformidade com as normas sanitárias.</t>
        </is>
      </c>
    </row>
    <row r="15" ht="24" customHeight="1">
      <c r="A15" s="14" t="inlineStr">
        <is>
          <t>1.2</t>
        </is>
      </c>
      <c r="B15" s="15" t="inlineStr">
        <is>
          <t>Pisos, paredes e tetos lisos, laváveis, impermeáveis, sem trincas, mofo ou descascamento.</t>
        </is>
      </c>
      <c r="C15" s="16" t="inlineStr">
        <is>
          <t>CVS 5 Art. 6</t>
        </is>
      </c>
      <c r="D15" s="17" t="inlineStr">
        <is>
          <t>Maior</t>
        </is>
      </c>
      <c r="E15" s="14" t="inlineStr">
        <is>
          <t>C</t>
        </is>
      </c>
      <c r="F15" s="18" t="inlineStr"/>
      <c r="G15" s="15" t="inlineStr">
        <is>
          <t>Em conformidade com as normas sanitárias.</t>
        </is>
      </c>
    </row>
    <row r="16" ht="24" customHeight="1">
      <c r="A16" s="14" t="inlineStr">
        <is>
          <t>1.3</t>
        </is>
      </c>
      <c r="B16" s="15" t="inlineStr">
        <is>
          <t>Portas com fechamento automático (mola) e janelas teladas com malha de 2mm removível.</t>
        </is>
      </c>
      <c r="C16" s="16" t="inlineStr">
        <is>
          <t>RDC 216 4.1.6</t>
        </is>
      </c>
      <c r="D16" s="17" t="inlineStr">
        <is>
          <t>Maior</t>
        </is>
      </c>
      <c r="E16" s="14" t="inlineStr">
        <is>
          <t>C</t>
        </is>
      </c>
      <c r="F16" s="18" t="inlineStr"/>
      <c r="G16" s="15" t="inlineStr">
        <is>
          <t>Em conformidade com as normas sanitárias.</t>
        </is>
      </c>
    </row>
    <row r="17" ht="24" customHeight="1">
      <c r="A17" s="14" t="inlineStr">
        <is>
          <t>1.4</t>
        </is>
      </c>
      <c r="B17" s="15" t="inlineStr">
        <is>
          <t>Lixeiras com acionamento por pedal sem contato manual e sacos plásticos resistentes.</t>
        </is>
      </c>
      <c r="C17" s="16" t="inlineStr">
        <is>
          <t>SMS 2619 Item 4.12</t>
        </is>
      </c>
      <c r="D17" s="17" t="inlineStr">
        <is>
          <t>Crítico</t>
        </is>
      </c>
      <c r="E17" s="14" t="inlineStr">
        <is>
          <t>C</t>
        </is>
      </c>
      <c r="F17" s="18" t="inlineStr"/>
      <c r="G17" s="15" t="inlineStr">
        <is>
          <t>Em conformidade com as normas sanitárias.</t>
        </is>
      </c>
    </row>
    <row r="18" ht="22" customHeight="1">
      <c r="A18" s="13" t="inlineStr">
        <is>
          <t>2. ABASTECIMENTO DE ÁGUA E ESGOTAMENTO — (RDC 216 Item 4.2 | CVS 5 Art. 13 a 17)</t>
        </is>
      </c>
    </row>
    <row r="19" ht="24" customHeight="1">
      <c r="A19" s="14" t="inlineStr">
        <is>
          <t>2.1</t>
        </is>
      </c>
      <c r="B19" s="15" t="inlineStr">
        <is>
          <t>Reservatório de água higienizado semestralmente com laudo de potabilidade arquivado.</t>
        </is>
      </c>
      <c r="C19" s="16" t="inlineStr">
        <is>
          <t>CVS 5 Art. 14</t>
        </is>
      </c>
      <c r="D19" s="17" t="inlineStr">
        <is>
          <t>Crítico</t>
        </is>
      </c>
      <c r="E19" s="14" t="inlineStr">
        <is>
          <t>C</t>
        </is>
      </c>
      <c r="F19" s="18" t="inlineStr"/>
      <c r="G19" s="15" t="inlineStr">
        <is>
          <t>Em conformidade com as normas sanitárias.</t>
        </is>
      </c>
    </row>
    <row r="20" ht="24" customHeight="1">
      <c r="A20" s="14" t="inlineStr">
        <is>
          <t>2.2</t>
        </is>
      </c>
      <c r="B20" s="15" t="inlineStr">
        <is>
          <t>Ralos sifonados com fechamento rotativo escamoteável e caixas de gordura externas.</t>
        </is>
      </c>
      <c r="C20" s="16" t="inlineStr">
        <is>
          <t>RDC 216 4.1.10</t>
        </is>
      </c>
      <c r="D20" s="17" t="inlineStr">
        <is>
          <t>Maior</t>
        </is>
      </c>
      <c r="E20" s="14" t="inlineStr">
        <is>
          <t>C</t>
        </is>
      </c>
      <c r="F20" s="18" t="inlineStr"/>
      <c r="G20" s="15" t="inlineStr">
        <is>
          <t>Em conformidade com as normas sanitárias.</t>
        </is>
      </c>
    </row>
    <row r="21" ht="22" customHeight="1">
      <c r="A21" s="13" t="inlineStr">
        <is>
          <t>3. HIGIENIZAÇÃO, SANEANTES E CONTROLE DE PRAGAS (MIP) — (RDC 216 4.3 e 4.4 | CVS 5 Art. 18 a 27)</t>
        </is>
      </c>
    </row>
    <row r="22" ht="24" customHeight="1">
      <c r="A22" s="14" t="inlineStr">
        <is>
          <t>3.1</t>
        </is>
      </c>
      <c r="B22" s="15" t="inlineStr">
        <is>
          <t>Saneantes regularizados na ANVISA, guardados em local exclusivo, ventilado e trancado.</t>
        </is>
      </c>
      <c r="C22" s="16" t="inlineStr">
        <is>
          <t>RDC 216 4.3.3</t>
        </is>
      </c>
      <c r="D22" s="17" t="inlineStr">
        <is>
          <t>Maior</t>
        </is>
      </c>
      <c r="E22" s="14" t="inlineStr">
        <is>
          <t>C</t>
        </is>
      </c>
      <c r="F22" s="18" t="inlineStr"/>
      <c r="G22" s="15" t="inlineStr">
        <is>
          <t>Em conformidade com as normas sanitárias.</t>
        </is>
      </c>
    </row>
    <row r="23" ht="24" customHeight="1">
      <c r="A23" s="14" t="inlineStr">
        <is>
          <t>3.2</t>
        </is>
      </c>
      <c r="B23" s="15" t="inlineStr">
        <is>
          <t>Controle Integrado de Pragas (MIP) com contrato e laudo semestral vigente com empresa licenciada.</t>
        </is>
      </c>
      <c r="C23" s="16" t="inlineStr">
        <is>
          <t>CVS 5 Art. 21</t>
        </is>
      </c>
      <c r="D23" s="17" t="inlineStr">
        <is>
          <t>Crítico</t>
        </is>
      </c>
      <c r="E23" s="14" t="inlineStr">
        <is>
          <t>C</t>
        </is>
      </c>
      <c r="F23" s="18" t="inlineStr"/>
      <c r="G23" s="15" t="inlineStr">
        <is>
          <t>Em conformidade com as normas sanitárias.</t>
        </is>
      </c>
    </row>
    <row r="24" ht="24" customHeight="1">
      <c r="A24" s="14" t="inlineStr">
        <is>
          <t>3.3</t>
        </is>
      </c>
      <c r="B24" s="15" t="inlineStr">
        <is>
          <t>POP de higienização de instalações e superfícies operacionais visível e cumprido.</t>
        </is>
      </c>
      <c r="C24" s="16" t="inlineStr">
        <is>
          <t>SMS 2619 Cap. IV</t>
        </is>
      </c>
      <c r="D24" s="17" t="inlineStr">
        <is>
          <t>Maior</t>
        </is>
      </c>
      <c r="E24" s="14" t="inlineStr">
        <is>
          <t>C</t>
        </is>
      </c>
      <c r="F24" s="18" t="inlineStr"/>
      <c r="G24" s="15" t="inlineStr">
        <is>
          <t>Em conformidade com as normas sanitárias.</t>
        </is>
      </c>
    </row>
    <row r="25" ht="22" customHeight="1">
      <c r="A25" s="13" t="inlineStr">
        <is>
          <t>4. RECEBIMENTO DE MATÉRIAS-PRIMAS E QUALIDADE — (RDC 216 Item 4.7 | CVS 5 Art. 28 a 37)</t>
        </is>
      </c>
    </row>
    <row r="26" ht="24" customHeight="1">
      <c r="A26" s="14" t="inlineStr">
        <is>
          <t>4.1</t>
        </is>
      </c>
      <c r="B26" s="15" t="inlineStr">
        <is>
          <t>Conferência térmica na entrega (Congelados &lt;= -12°C, Carnes resfriadas &lt;= 4°C, Pescados &lt;= 2°C).</t>
        </is>
      </c>
      <c r="C26" s="16" t="inlineStr">
        <is>
          <t>CVS 5 Art. 30</t>
        </is>
      </c>
      <c r="D26" s="17" t="inlineStr">
        <is>
          <t>Crítico</t>
        </is>
      </c>
      <c r="E26" s="14" t="inlineStr">
        <is>
          <t>C</t>
        </is>
      </c>
      <c r="F26" s="18" t="inlineStr"/>
      <c r="G26" s="15" t="inlineStr">
        <is>
          <t>Em conformidade com as normas sanitárias.</t>
        </is>
      </c>
    </row>
    <row r="27" ht="24" customHeight="1">
      <c r="A27" s="14" t="inlineStr">
        <is>
          <t>4.2</t>
        </is>
      </c>
      <c r="B27" s="15" t="inlineStr">
        <is>
          <t>Origem animal inspecionada (selo SIF, SISP ou SIM obrigatório em carnes, queijos e ovos).</t>
        </is>
      </c>
      <c r="C27" s="16" t="inlineStr">
        <is>
          <t>RDC 216 4.7.1</t>
        </is>
      </c>
      <c r="D27" s="17" t="inlineStr">
        <is>
          <t>Crítico</t>
        </is>
      </c>
      <c r="E27" s="14" t="inlineStr">
        <is>
          <t>C</t>
        </is>
      </c>
      <c r="F27" s="18" t="inlineStr"/>
      <c r="G27" s="15" t="inlineStr">
        <is>
          <t>Em conformidade com as normas sanitárias.</t>
        </is>
      </c>
    </row>
    <row r="28" ht="24" customHeight="1">
      <c r="A28" s="14" t="inlineStr">
        <is>
          <t>4.3</t>
        </is>
      </c>
      <c r="B28" s="15" t="inlineStr">
        <is>
          <t>Planilha diária de registro de recebimento preenchida, assinada e arquivada pelo RT.</t>
        </is>
      </c>
      <c r="C28" s="16" t="inlineStr">
        <is>
          <t>SMS 2619 Item 5.3</t>
        </is>
      </c>
      <c r="D28" s="17" t="inlineStr">
        <is>
          <t>Maior</t>
        </is>
      </c>
      <c r="E28" s="14" t="inlineStr">
        <is>
          <t>C</t>
        </is>
      </c>
      <c r="F28" s="18" t="inlineStr"/>
      <c r="G28" s="15" t="inlineStr">
        <is>
          <t>Em conformidade com as normas sanitárias.</t>
        </is>
      </c>
    </row>
    <row r="29" ht="22" customHeight="1">
      <c r="A29" s="13" t="inlineStr">
        <is>
          <t>5. ARMAZENAMENTO E ESTOQUE (CRITÉRIO PVPS) — (RDC 216 Item 4.8 | CVS 5 Art. 38 a 46)</t>
        </is>
      </c>
    </row>
    <row r="30" ht="24" customHeight="1">
      <c r="A30" s="14" t="inlineStr">
        <is>
          <t>5.1</t>
        </is>
      </c>
      <c r="B30" s="15" t="inlineStr">
        <is>
          <t>Rotulagem de produtos abertos/fracionados (Nome do produto, data manipulação e data validade).</t>
        </is>
      </c>
      <c r="C30" s="16" t="inlineStr">
        <is>
          <t>CVS 5 Art. 40</t>
        </is>
      </c>
      <c r="D30" s="17" t="inlineStr">
        <is>
          <t>Crítico</t>
        </is>
      </c>
      <c r="E30" s="14" t="inlineStr">
        <is>
          <t>C</t>
        </is>
      </c>
      <c r="F30" s="18" t="inlineStr"/>
      <c r="G30" s="15" t="inlineStr">
        <is>
          <t>Em conformidade com as normas sanitárias.</t>
        </is>
      </c>
    </row>
    <row r="31" ht="24" customHeight="1">
      <c r="A31" s="14" t="inlineStr">
        <is>
          <t>5.2</t>
        </is>
      </c>
      <c r="B31" s="15" t="inlineStr">
        <is>
          <t>Critério PVPS (Primeiro que Vence, Primeiro que Sai) rigorosamente aplicado nos estoques.</t>
        </is>
      </c>
      <c r="C31" s="16" t="inlineStr">
        <is>
          <t>RDC 216 4.8.5</t>
        </is>
      </c>
      <c r="D31" s="17" t="inlineStr">
        <is>
          <t>Crítico</t>
        </is>
      </c>
      <c r="E31" s="14" t="inlineStr">
        <is>
          <t>C</t>
        </is>
      </c>
      <c r="F31" s="18" t="inlineStr"/>
      <c r="G31" s="15" t="inlineStr">
        <is>
          <t>Em conformidade com as normas sanitárias.</t>
        </is>
      </c>
    </row>
    <row r="32" ht="24" customHeight="1">
      <c r="A32" s="14" t="inlineStr">
        <is>
          <t>5.3</t>
        </is>
      </c>
      <c r="B32" s="15" t="inlineStr">
        <is>
          <t>Alimentos afastados do piso (paletes &gt;= 25cm), paredes e teto; proibido papelão em câmaras frias.</t>
        </is>
      </c>
      <c r="C32" s="16" t="inlineStr">
        <is>
          <t>CVS 5 Art. 39</t>
        </is>
      </c>
      <c r="D32" s="17" t="inlineStr">
        <is>
          <t>Maior</t>
        </is>
      </c>
      <c r="E32" s="14" t="inlineStr">
        <is>
          <t>C</t>
        </is>
      </c>
      <c r="F32" s="18" t="inlineStr"/>
      <c r="G32" s="15" t="inlineStr">
        <is>
          <t>Em conformidade com as normas sanitárias.</t>
        </is>
      </c>
    </row>
    <row r="33" ht="22" customHeight="1">
      <c r="A33" s="13" t="inlineStr">
        <is>
          <t>6. PROCESSAMENTO TÉRMICO E RESFRIAMENTO RÁPIDO — (RDC 216 Item 4.8.14 | CVS 5 Art. 47 a 53 | SMS 2619 Cap. VII)</t>
        </is>
      </c>
    </row>
    <row r="34" ht="24" customHeight="1">
      <c r="A34" s="14" t="inlineStr">
        <is>
          <t>6.1</t>
        </is>
      </c>
      <c r="B34" s="15" t="inlineStr">
        <is>
          <t>Cocção atinge temperatura de segurança no centro geométrico da preparação (mínimo 70°C).</t>
        </is>
      </c>
      <c r="C34" s="16" t="inlineStr">
        <is>
          <t>CVS 5 Art. 47</t>
        </is>
      </c>
      <c r="D34" s="17" t="inlineStr">
        <is>
          <t>Crítico</t>
        </is>
      </c>
      <c r="E34" s="14" t="inlineStr">
        <is>
          <t>C</t>
        </is>
      </c>
      <c r="F34" s="18" t="inlineStr"/>
      <c r="G34" s="15" t="inlineStr">
        <is>
          <t>Em conformidade com as normas sanitárias.</t>
        </is>
      </c>
    </row>
    <row r="35" ht="24" customHeight="1">
      <c r="A35" s="14" t="inlineStr">
        <is>
          <t>6.2</t>
        </is>
      </c>
      <c r="B35" s="15" t="inlineStr">
        <is>
          <t>Resfriamento rápido seguro: redução de 60°C para 10°C em no máximo 2 horas.</t>
        </is>
      </c>
      <c r="C35" s="16" t="inlineStr">
        <is>
          <t>SMS 2619 Item 7.3</t>
        </is>
      </c>
      <c r="D35" s="17" t="inlineStr">
        <is>
          <t>Crítico</t>
        </is>
      </c>
      <c r="E35" s="14" t="inlineStr">
        <is>
          <t>C</t>
        </is>
      </c>
      <c r="F35" s="18" t="inlineStr"/>
      <c r="G35" s="15" t="inlineStr">
        <is>
          <t>Em conformidade com as normas sanitárias.</t>
        </is>
      </c>
    </row>
    <row r="36" ht="24" customHeight="1">
      <c r="A36" s="14" t="inlineStr">
        <is>
          <t>6.3</t>
        </is>
      </c>
      <c r="B36" s="15" t="inlineStr">
        <is>
          <t>Monitoramento e troca de óleo de fritura (ausência de fumaça precoce, espuma ou rancidez).</t>
        </is>
      </c>
      <c r="C36" s="16" t="inlineStr">
        <is>
          <t>CVS 5 Art. 52</t>
        </is>
      </c>
      <c r="D36" s="17" t="inlineStr">
        <is>
          <t>Maior</t>
        </is>
      </c>
      <c r="E36" s="14" t="inlineStr">
        <is>
          <t>C</t>
        </is>
      </c>
      <c r="F36" s="18" t="inlineStr"/>
      <c r="G36" s="15" t="inlineStr">
        <is>
          <t>Em conformidade com as normas sanitárias.</t>
        </is>
      </c>
    </row>
    <row r="37" ht="22" customHeight="1">
      <c r="A37" s="13" t="inlineStr">
        <is>
          <t>7. HIGIENIZAÇÃO DE HORTIFRUTÍCOLAS (CONSUMO CRU) — (CVS 5 Art. 48 | SMS 2619 Item 7.8)</t>
        </is>
      </c>
    </row>
    <row r="38" ht="24" customHeight="1">
      <c r="A38" s="14" t="inlineStr">
        <is>
          <t>7.1</t>
        </is>
      </c>
      <c r="B38" s="15" t="inlineStr">
        <is>
          <t>Lavagem mecânica folha a folha em água potável corrente.</t>
        </is>
      </c>
      <c r="C38" s="16" t="inlineStr">
        <is>
          <t>CVS 5 Art. 48</t>
        </is>
      </c>
      <c r="D38" s="17" t="inlineStr">
        <is>
          <t>Maior</t>
        </is>
      </c>
      <c r="E38" s="14" t="inlineStr">
        <is>
          <t>C</t>
        </is>
      </c>
      <c r="F38" s="18" t="inlineStr"/>
      <c r="G38" s="15" t="inlineStr">
        <is>
          <t>Em conformidade com as normas sanitárias.</t>
        </is>
      </c>
    </row>
    <row r="39" ht="24" customHeight="1">
      <c r="A39" s="14" t="inlineStr">
        <is>
          <t>7.2</t>
        </is>
      </c>
      <c r="B39" s="15" t="inlineStr">
        <is>
          <t>Sanitização por imersão em solução clorada de 100 a 250 ppm de cloro ativo por 10 a 15 min.</t>
        </is>
      </c>
      <c r="C39" s="16" t="inlineStr">
        <is>
          <t>CVS 5 Art. 48</t>
        </is>
      </c>
      <c r="D39" s="17" t="inlineStr">
        <is>
          <t>Crítico</t>
        </is>
      </c>
      <c r="E39" s="14" t="inlineStr">
        <is>
          <t>C</t>
        </is>
      </c>
      <c r="F39" s="18" t="inlineStr"/>
      <c r="G39" s="15" t="inlineStr">
        <is>
          <t>Em conformidade com as normas sanitárias.</t>
        </is>
      </c>
    </row>
    <row r="40" ht="24" customHeight="1">
      <c r="A40" s="14" t="inlineStr">
        <is>
          <t>7.3</t>
        </is>
      </c>
      <c r="B40" s="15" t="inlineStr">
        <is>
          <t>Enxágue final com água potável corrente para eliminação de resíduos clorados.</t>
        </is>
      </c>
      <c r="C40" s="16" t="inlineStr">
        <is>
          <t>SMS 2619 Item 7.8</t>
        </is>
      </c>
      <c r="D40" s="17" t="inlineStr">
        <is>
          <t>Crítico</t>
        </is>
      </c>
      <c r="E40" s="14" t="inlineStr">
        <is>
          <t>C</t>
        </is>
      </c>
      <c r="F40" s="18" t="inlineStr"/>
      <c r="G40" s="15" t="inlineStr">
        <is>
          <t>Em conformidade com as normas sanitárias.</t>
        </is>
      </c>
    </row>
    <row r="41" ht="22" customHeight="1">
      <c r="A41" s="13" t="inlineStr">
        <is>
          <t>8. MANIPULADORES, ASO E HIGIENE PESSOAL — (RDC 216 Item 4.6 | CVS 5 Art. 54 a 61)</t>
        </is>
      </c>
    </row>
    <row r="42" ht="24" customHeight="1">
      <c r="A42" s="14" t="inlineStr">
        <is>
          <t>8.1</t>
        </is>
      </c>
      <c r="B42" s="15" t="inlineStr">
        <is>
          <t>Uniformes completos claros e exclusivos, calçados fechados antiderrapantes e touca total.</t>
        </is>
      </c>
      <c r="C42" s="16" t="inlineStr">
        <is>
          <t>RDC 216 4.6.3</t>
        </is>
      </c>
      <c r="D42" s="17" t="inlineStr">
        <is>
          <t>Maior</t>
        </is>
      </c>
      <c r="E42" s="14" t="inlineStr">
        <is>
          <t>C</t>
        </is>
      </c>
      <c r="F42" s="18" t="inlineStr"/>
      <c r="G42" s="15" t="inlineStr">
        <is>
          <t>Em conformidade com as normas sanitárias.</t>
        </is>
      </c>
    </row>
    <row r="43" ht="24" customHeight="1">
      <c r="A43" s="14" t="inlineStr">
        <is>
          <t>8.2</t>
        </is>
      </c>
      <c r="B43" s="15" t="inlineStr">
        <is>
          <t>Ausência rigorosa de adornos (anéis, relógios, brincos) e esmaltes nas unhas dos manipuladores.</t>
        </is>
      </c>
      <c r="C43" s="16" t="inlineStr">
        <is>
          <t>CVS 5 Art. 55</t>
        </is>
      </c>
      <c r="D43" s="17" t="inlineStr">
        <is>
          <t>Crítico</t>
        </is>
      </c>
      <c r="E43" s="14" t="inlineStr">
        <is>
          <t>C</t>
        </is>
      </c>
      <c r="F43" s="18" t="inlineStr"/>
      <c r="G43" s="15" t="inlineStr">
        <is>
          <t>Em conformidade com as normas sanitárias.</t>
        </is>
      </c>
    </row>
    <row r="44" ht="24" customHeight="1">
      <c r="A44" s="14" t="inlineStr">
        <is>
          <t>8.3</t>
        </is>
      </c>
      <c r="B44" s="15" t="inlineStr">
        <is>
          <t>Atestado de Saúde Ocupacional (ASO) e exames admissionais/periódicos vigentes.</t>
        </is>
      </c>
      <c r="C44" s="16" t="inlineStr">
        <is>
          <t>CVS 5 Art. 57</t>
        </is>
      </c>
      <c r="D44" s="17" t="inlineStr">
        <is>
          <t>Crítico</t>
        </is>
      </c>
      <c r="E44" s="14" t="inlineStr">
        <is>
          <t>C</t>
        </is>
      </c>
      <c r="F44" s="18" t="inlineStr"/>
      <c r="G44" s="15" t="inlineStr">
        <is>
          <t>Em conformidade com as normas sanitárias.</t>
        </is>
      </c>
    </row>
    <row r="45" ht="22" customHeight="1">
      <c r="A45" s="13" t="inlineStr">
        <is>
          <t>9. DOCUMENTAÇÃO, MANUAL DE BPF E AMOSTRAS — (RDC 216 Item 4.11 | CVS 5 Art. 67 a 70 | SMS 2619 Art. 101)</t>
        </is>
      </c>
    </row>
    <row r="46" ht="24" customHeight="1">
      <c r="A46" s="14" t="inlineStr">
        <is>
          <t>9.1</t>
        </is>
      </c>
      <c r="B46" s="15" t="inlineStr">
        <is>
          <t>Coleta diária de amostras de todas as preparações servidas (mínimo 100g, guardadas por 72h congeladas).</t>
        </is>
      </c>
      <c r="C46" s="16" t="inlineStr">
        <is>
          <t>CVS 5 Art. 68</t>
        </is>
      </c>
      <c r="D46" s="17" t="inlineStr">
        <is>
          <t>Crítico</t>
        </is>
      </c>
      <c r="E46" s="14" t="inlineStr">
        <is>
          <t>C</t>
        </is>
      </c>
      <c r="F46" s="18" t="inlineStr"/>
      <c r="G46" s="15" t="inlineStr">
        <is>
          <t>Em conformidade com as normas sanitárias.</t>
        </is>
      </c>
    </row>
    <row r="47" ht="24" customHeight="1">
      <c r="A47" s="14" t="inlineStr">
        <is>
          <t>9.2</t>
        </is>
      </c>
      <c r="B47" s="15" t="inlineStr">
        <is>
          <t>Manual de Boas Práticas e 4 POPs obrigatórios atualizados e rubricados pelo Responsável Técnico.</t>
        </is>
      </c>
      <c r="C47" s="16" t="inlineStr">
        <is>
          <t>RDC 216 4.11.1</t>
        </is>
      </c>
      <c r="D47" s="17" t="inlineStr">
        <is>
          <t>Crítico</t>
        </is>
      </c>
      <c r="E47" s="14" t="inlineStr">
        <is>
          <t>C</t>
        </is>
      </c>
      <c r="F47" s="18" t="inlineStr"/>
      <c r="G47" s="15" t="inlineStr">
        <is>
          <t>Em conformidade com as normas sanitárias.</t>
        </is>
      </c>
    </row>
    <row r="48" ht="22" customHeight="1">
      <c r="A48" s="19" t="inlineStr">
        <is>
          <t>10. EXCELÊNCIA MICHELIN &amp; REDES HOTELEIRAS DE LUXO — (Benchmarking Internacional &amp; Alta Gastronomia)</t>
        </is>
      </c>
    </row>
    <row r="49" ht="24" customHeight="1">
      <c r="A49" s="14" t="inlineStr">
        <is>
          <t>10.1</t>
        </is>
      </c>
      <c r="B49" s="15" t="inlineStr">
        <is>
          <t>Codificação cromática de tábuas e facas (Branco: Laticínios | Vermelho: Carnes | Verde: Vegetais | Azul: Pescados).</t>
        </is>
      </c>
      <c r="C49" s="16" t="inlineStr">
        <is>
          <t>Michelin Standard</t>
        </is>
      </c>
      <c r="D49" s="17" t="inlineStr">
        <is>
          <t>Crítico</t>
        </is>
      </c>
      <c r="E49" s="14" t="inlineStr">
        <is>
          <t>C</t>
        </is>
      </c>
      <c r="F49" s="18" t="inlineStr"/>
      <c r="G49" s="15" t="inlineStr">
        <is>
          <t>Em conformidade com as normas sanitárias.</t>
        </is>
      </c>
    </row>
    <row r="50" ht="24" customHeight="1">
      <c r="A50" s="14" t="inlineStr">
        <is>
          <t>10.2</t>
        </is>
      </c>
      <c r="B50" s="15" t="inlineStr">
        <is>
          <t>Uso de abatedor ultra-rápido (-40°C) garantindo micro-cristalização sem perda de sucos e textura.</t>
        </is>
      </c>
      <c r="C50" s="16" t="inlineStr">
        <is>
          <t>Michelin Standard</t>
        </is>
      </c>
      <c r="D50" s="17" t="inlineStr">
        <is>
          <t>Maior</t>
        </is>
      </c>
      <c r="E50" s="14" t="inlineStr">
        <is>
          <t>C</t>
        </is>
      </c>
      <c r="F50" s="18" t="inlineStr"/>
      <c r="G50" s="15" t="inlineStr">
        <is>
          <t>Em conformidade com as normas sanitárias.</t>
        </is>
      </c>
    </row>
    <row r="51" ht="24" customHeight="1">
      <c r="A51" s="14" t="inlineStr">
        <is>
          <t>10.3</t>
        </is>
      </c>
      <c r="B51" s="15" t="inlineStr">
        <is>
          <t>Cocção a vácuo (Sous-Vide) com termocirculador calibrado a ±0.1°C e vácuo estrito (&lt;10 mbar).</t>
        </is>
      </c>
      <c r="C51" s="16" t="inlineStr">
        <is>
          <t>Michelin Standard</t>
        </is>
      </c>
      <c r="D51" s="17" t="inlineStr">
        <is>
          <t>Maior</t>
        </is>
      </c>
      <c r="E51" s="14" t="inlineStr">
        <is>
          <t>C</t>
        </is>
      </c>
      <c r="F51" s="18" t="inlineStr"/>
      <c r="G51" s="15" t="inlineStr">
        <is>
          <t>Em conformidade com as normas sanitárias.</t>
        </is>
      </c>
    </row>
    <row r="52" ht="24" customHeight="1">
      <c r="A52" s="14" t="inlineStr">
        <is>
          <t>10.4</t>
        </is>
      </c>
      <c r="B52" s="15" t="inlineStr">
        <is>
          <t>Rastreabilidade total farm-to-table de produtores locais artesanais e ficha técnica de rendimento 100%.</t>
        </is>
      </c>
      <c r="C52" s="16" t="inlineStr">
        <is>
          <t>Michelin Standard</t>
        </is>
      </c>
      <c r="D52" s="17" t="inlineStr">
        <is>
          <t>Maior</t>
        </is>
      </c>
      <c r="E52" s="14" t="inlineStr">
        <is>
          <t>C</t>
        </is>
      </c>
      <c r="F52" s="18" t="inlineStr"/>
      <c r="G52" s="15" t="inlineStr">
        <is>
          <t>Em conformidade com as normas sanitárias.</t>
        </is>
      </c>
    </row>
  </sheetData>
  <mergeCells count="26">
    <mergeCell ref="F4:G4"/>
    <mergeCell ref="F6:G6"/>
    <mergeCell ref="A29:G29"/>
    <mergeCell ref="F9:G10"/>
    <mergeCell ref="A13:G13"/>
    <mergeCell ref="A33:G33"/>
    <mergeCell ref="E9:E10"/>
    <mergeCell ref="F5:G5"/>
    <mergeCell ref="A48:G48"/>
    <mergeCell ref="A9:B10"/>
    <mergeCell ref="B6:D6"/>
    <mergeCell ref="A45:G45"/>
    <mergeCell ref="F8:G8"/>
    <mergeCell ref="E8"/>
    <mergeCell ref="B5:D5"/>
    <mergeCell ref="A1:G1"/>
    <mergeCell ref="B4:D4"/>
    <mergeCell ref="A25:G25"/>
    <mergeCell ref="A41:G41"/>
    <mergeCell ref="A8:B8"/>
    <mergeCell ref="C8:D8"/>
    <mergeCell ref="A37:G37"/>
    <mergeCell ref="A18:G18"/>
    <mergeCell ref="A21:G21"/>
    <mergeCell ref="A2:G2"/>
    <mergeCell ref="C9:D10"/>
  </mergeCells>
  <dataValidations count="1">
    <dataValidation sqref="E14 E15 E16 E17 E19 E20 E22 E23 E24 E26 E27 E28 E30 E31 E32 E34 E35 E36 E38 E39 E40 E42 E43 E44 E46 E47 E49 E50 E51 E52" showDropDown="0" showInputMessage="0" showErrorMessage="0" allowBlank="1" type="list">
      <formula1>"C,NC,NA"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showGridLines="1" workbookViewId="0">
      <selection activeCell="A1" sqref="A1"/>
    </sheetView>
  </sheetViews>
  <sheetFormatPr baseColWidth="8" defaultRowHeight="15"/>
  <cols>
    <col width="24" customWidth="1" min="1" max="1"/>
    <col width="35" customWidth="1" min="2" max="2"/>
    <col width="45" customWidth="1" min="3" max="3"/>
    <col width="45" customWidth="1" min="4" max="4"/>
  </cols>
  <sheetData>
    <row r="1" ht="32" customHeight="1">
      <c r="A1" s="1" t="inlineStr">
        <is>
          <t>QUADRO COMPARATIVO DE EXIGÊNCIAS SANITÁRIAS</t>
        </is>
      </c>
    </row>
    <row r="3" ht="24" customHeight="1">
      <c r="A3" s="20" t="inlineStr">
        <is>
          <t>TEMA / ETAPA</t>
        </is>
      </c>
      <c r="B3" s="20" t="inlineStr">
        <is>
          <t>FEDERAL (RDC 216/04)</t>
        </is>
      </c>
      <c r="C3" s="20" t="inlineStr">
        <is>
          <t>ESTADUAL SP (CVS 5/13)</t>
        </is>
      </c>
      <c r="D3" s="20" t="inlineStr">
        <is>
          <t>MUNICIPAL SP (SMS 2619/11)</t>
        </is>
      </c>
    </row>
    <row r="4" ht="24" customHeight="1">
      <c r="A4" s="21" t="inlineStr">
        <is>
          <t>Reservatório de Água</t>
        </is>
      </c>
      <c r="B4" s="22" t="inlineStr">
        <is>
          <t>Limpeza periódica recomendada</t>
        </is>
      </c>
      <c r="C4" s="22" t="inlineStr">
        <is>
          <t>Obrigatória a cada 6 meses com registro</t>
        </is>
      </c>
      <c r="D4" s="22" t="inlineStr">
        <is>
          <t>Semestral + laudo bacteriológico obrigatório</t>
        </is>
      </c>
    </row>
    <row r="5" ht="24" customHeight="1">
      <c r="A5" s="21" t="inlineStr">
        <is>
          <t>Hortifruti Cru</t>
        </is>
      </c>
      <c r="B5" s="22" t="inlineStr">
        <is>
          <t>Higienização geral com sanitizante</t>
        </is>
      </c>
      <c r="C5" s="22" t="inlineStr">
        <is>
          <t>100 a 250 ppm cloro por 10-15 min + enxágue</t>
        </is>
      </c>
      <c r="D5" s="22" t="inlineStr">
        <is>
          <t>Solução clorada 200 ppm + enxágue obrigatório</t>
        </is>
      </c>
    </row>
    <row r="6" ht="24" customHeight="1">
      <c r="A6" s="21" t="inlineStr">
        <is>
          <t>Guarda de Amostras</t>
        </is>
      </c>
      <c r="B6" s="22" t="inlineStr">
        <is>
          <t>Opcional (recomendado em surtos)</t>
        </is>
      </c>
      <c r="C6" s="22" t="inlineStr">
        <is>
          <t>Obrigatório para refeições coletivas (72h congelado)</t>
        </is>
      </c>
      <c r="D6" s="22" t="inlineStr">
        <is>
          <t>Obrigatório para restaurantes e buffets (72h a -18°C)</t>
        </is>
      </c>
    </row>
    <row r="7" ht="24" customHeight="1">
      <c r="A7" s="21" t="inlineStr">
        <is>
          <t>Binômio Tempo x Temp</t>
        </is>
      </c>
      <c r="B7" s="22" t="inlineStr">
        <is>
          <t>Centro geométrico &gt;= 70°C</t>
        </is>
      </c>
      <c r="C7" s="22" t="inlineStr">
        <is>
          <t>&gt;= 70°C ou 65°C por 15 min ou 60°C por 2h</t>
        </is>
      </c>
      <c r="D7" s="22" t="inlineStr">
        <is>
          <t>&gt;= 74°C imediato ou 70°C por 2 min ou 65°C por 15 min</t>
        </is>
      </c>
    </row>
    <row r="8" ht="24" customHeight="1">
      <c r="A8" s="21" t="inlineStr">
        <is>
          <t>Classificação de Risco</t>
        </is>
      </c>
      <c r="B8" s="22" t="inlineStr">
        <is>
          <t>Não categoriza por grupos</t>
        </is>
      </c>
      <c r="C8" s="22" t="inlineStr">
        <is>
          <t>Grupo 1 (90-100%), Grupo 2 (70-89%), Grupo 3 (&lt;70%)</t>
        </is>
      </c>
      <c r="D8" s="22" t="inlineStr">
        <is>
          <t>Conforme, Intimação com prazo ou Auto de Interdição</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2026-09-14T15:22:58Z</dcterms:created>
  <dcterms:modified xmlns:dcterms="http://purl.org/dc/terms/" xmlns:xsi="http://www.w3.org/2001/XMLSchema-instance" xsi:type="dcterms:W3CDTF">2026-09-14T15:22:58Z</dcterms:modified>
</cp:coreProperties>
</file>